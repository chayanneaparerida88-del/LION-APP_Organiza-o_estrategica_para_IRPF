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AFB3EDBE-30FC-4F58-A2F5-D150F9D86E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5" r:id="rId1"/>
    <sheet name="INFORMES" sheetId="4" r:id="rId2"/>
    <sheet name="NOTAS" sheetId="2" r:id="rId3"/>
    <sheet name="Planilha1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C8" i="4"/>
  <c r="A9" i="5"/>
</calcChain>
</file>

<file path=xl/sharedStrings.xml><?xml version="1.0" encoding="utf-8"?>
<sst xmlns="http://schemas.openxmlformats.org/spreadsheetml/2006/main" count="122" uniqueCount="103">
  <si>
    <t>1.DADOS DO TITULAR</t>
  </si>
  <si>
    <t>Preencha os dados da sua pessoa fisica abaixo</t>
  </si>
  <si>
    <t>NOME</t>
  </si>
  <si>
    <t xml:space="preserve"> João Silva Oliveira </t>
  </si>
  <si>
    <t>CPF</t>
  </si>
  <si>
    <t>123.456.789-00</t>
  </si>
  <si>
    <t>DATA DE NASCIMENTO</t>
  </si>
  <si>
    <t>TITULO DE ELEITOR</t>
  </si>
  <si>
    <t>0987 6543 2100</t>
  </si>
  <si>
    <t>INFORMES</t>
  </si>
  <si>
    <t xml:space="preserve">CÔNJUGE </t>
  </si>
  <si>
    <t>Maria Fernanda Santos</t>
  </si>
  <si>
    <t>RUA</t>
  </si>
  <si>
    <t>Avenida das Plameiras,1500,bloco B</t>
  </si>
  <si>
    <t>NOTAS</t>
  </si>
  <si>
    <t xml:space="preserve">RUA/AVENIDA </t>
  </si>
  <si>
    <t>CEP</t>
  </si>
  <si>
    <t>01234-567</t>
  </si>
  <si>
    <t>TELEFONE</t>
  </si>
  <si>
    <t>(11) 98765-4321</t>
  </si>
  <si>
    <t>mailto:chaysousa88@gmail.com</t>
  </si>
  <si>
    <t>CELULAR</t>
  </si>
  <si>
    <t>(11) 91234-5678</t>
  </si>
  <si>
    <t>E-MAIL</t>
  </si>
  <si>
    <t>joao.silva@gmail.com</t>
  </si>
  <si>
    <t xml:space="preserve">HOUVE ALTERAÇÕES DA ENTRGA ANTERIOR </t>
  </si>
  <si>
    <t>SIM</t>
  </si>
  <si>
    <t xml:space="preserve">DEPENDENTE CÔNJUGE </t>
  </si>
  <si>
    <t xml:space="preserve">NÃO </t>
  </si>
  <si>
    <t>RESDENTE DO EXTERIOR</t>
  </si>
  <si>
    <r>
      <rPr>
        <b/>
        <sz val="16"/>
        <color rgb="FFFFFFFF"/>
        <rFont val="Microsoft YaHei"/>
      </rPr>
      <t>PROXIMO</t>
    </r>
    <r>
      <rPr>
        <sz val="16"/>
        <color rgb="FFFFFFFF"/>
        <rFont val="Microsoft YaHei"/>
      </rPr>
      <t>➡</t>
    </r>
  </si>
  <si>
    <t xml:space="preserve">2.INFORMES DE RENDIMENTOS BANCÁRIOS </t>
  </si>
  <si>
    <t xml:space="preserve">Preencha com seu dados atual de cada banco </t>
  </si>
  <si>
    <t>TOTAL</t>
  </si>
  <si>
    <t>TITULAR</t>
  </si>
  <si>
    <t>1.Banco</t>
  </si>
  <si>
    <t>BANCO</t>
  </si>
  <si>
    <t>260 - Nubank</t>
  </si>
  <si>
    <t>VALOR ATUAL</t>
  </si>
  <si>
    <t>ANEXO🔗</t>
  </si>
  <si>
    <t>Exato_2025.PDF</t>
  </si>
  <si>
    <t>2.Banco</t>
  </si>
  <si>
    <t>237 - Banco Bradesco</t>
  </si>
  <si>
    <t>3.Banco</t>
  </si>
  <si>
    <t>735 - Banco Neon</t>
  </si>
  <si>
    <r>
      <rPr>
        <sz val="16"/>
        <color rgb="FFFFFFFF"/>
        <rFont val="Microsoft YaHei"/>
      </rPr>
      <t>⬅</t>
    </r>
    <r>
      <rPr>
        <b/>
        <sz val="16"/>
        <color rgb="FFFFFFFF"/>
        <rFont val="Microsoft YaHei"/>
      </rPr>
      <t xml:space="preserve">ANTERIOR </t>
    </r>
  </si>
  <si>
    <r>
      <t>PROXIMO</t>
    </r>
    <r>
      <rPr>
        <sz val="16"/>
        <color rgb="FFFFFFFF"/>
        <rFont val="Microsoft YaHei"/>
      </rPr>
      <t>➡</t>
    </r>
  </si>
  <si>
    <t>3. NOTAS BANCÁRIAS OU EXTRATO DE HOLERITES</t>
  </si>
  <si>
    <t xml:space="preserve">São todos os  valores  de entrada mês a mês </t>
  </si>
  <si>
    <t xml:space="preserve">⬅ANTERIOR </t>
  </si>
  <si>
    <t>ENTRADAS</t>
  </si>
  <si>
    <t>DATA</t>
  </si>
  <si>
    <t>CATEGORIA</t>
  </si>
  <si>
    <t>VALORES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</si>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</sst>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[$-416]mmm\-yy;@"/>
  </numFmts>
  <fonts count="24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Calibri"/>
      <family val="2"/>
      <scheme val="minor"/>
    </font>
    <font>
      <u/>
      <sz val="18"/>
      <color theme="0"/>
      <name val="Calibri"/>
      <family val="2"/>
      <scheme val="minor"/>
    </font>
    <font>
      <b/>
      <sz val="16"/>
      <color theme="0"/>
      <name val="Microsoft YaHei"/>
    </font>
    <font>
      <b/>
      <sz val="18"/>
      <color theme="0"/>
      <name val="Microsoft YaHei"/>
    </font>
    <font>
      <u/>
      <sz val="11"/>
      <color rgb="FF0E1317"/>
      <name val="Calibri"/>
      <family val="2"/>
      <scheme val="minor"/>
    </font>
    <font>
      <b/>
      <sz val="15"/>
      <color rgb="FFD973CF"/>
      <name val="Calibri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rowallia New"/>
    </font>
    <font>
      <sz val="14"/>
      <color rgb="FF9C5700"/>
      <name val="Browallia New"/>
    </font>
    <font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9"/>
      <color theme="3" tint="-0.249977111117893"/>
      <name val="Calibri Light"/>
      <scheme val="major"/>
    </font>
    <font>
      <b/>
      <sz val="11"/>
      <color rgb="FF9C5700"/>
      <name val="Calibri"/>
      <scheme val="minor"/>
    </font>
    <font>
      <sz val="16"/>
      <color rgb="FFFFFFFF"/>
      <name val="Microsoft YaHei"/>
    </font>
    <font>
      <b/>
      <sz val="16"/>
      <color rgb="FFFFFFFF"/>
      <name val="Microsoft YaHei"/>
    </font>
    <font>
      <b/>
      <sz val="11"/>
      <color theme="0"/>
      <name val="Microsoft YaHei"/>
    </font>
    <font>
      <sz val="11"/>
      <color theme="1"/>
      <name val="Microsoft YaHei"/>
    </font>
    <font>
      <sz val="11"/>
      <color theme="5" tint="-0.249977111117893"/>
      <name val="Microsoft YaHei"/>
    </font>
    <font>
      <b/>
      <sz val="12"/>
      <color theme="0"/>
      <name val="Microsoft YaHei"/>
    </font>
    <font>
      <b/>
      <sz val="14"/>
      <color theme="0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793B94"/>
        <bgColor indexed="64"/>
      </patternFill>
    </fill>
    <fill>
      <patternFill patternType="solid">
        <fgColor rgb="FFEBB0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37B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793B94"/>
      </bottom>
      <diagonal/>
    </border>
    <border>
      <left/>
      <right/>
      <top style="medium">
        <color rgb="FF793B94"/>
      </top>
      <bottom/>
      <diagonal/>
    </border>
    <border>
      <left style="medium">
        <color theme="0" tint="-0.14999847407452621"/>
      </left>
      <right style="thin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medium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medium">
        <color theme="0" tint="-0.14999847407452621"/>
      </right>
      <top/>
      <bottom/>
      <diagonal/>
    </border>
    <border>
      <left/>
      <right style="medium">
        <color theme="0" tint="-0.14999847407452621"/>
      </right>
      <top style="thin">
        <color theme="0" tint="-0.14999847407452621"/>
      </top>
      <bottom/>
      <diagonal/>
    </border>
    <border>
      <left style="medium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5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3" borderId="0" xfId="0" applyFill="1"/>
    <xf numFmtId="0" fontId="0" fillId="0" borderId="0" xfId="0" applyBorder="1"/>
    <xf numFmtId="0" fontId="4" fillId="3" borderId="0" xfId="3" applyFont="1" applyFill="1" applyAlignment="1">
      <alignment horizontal="center"/>
    </xf>
    <xf numFmtId="0" fontId="5" fillId="3" borderId="0" xfId="3" applyFont="1" applyFill="1" applyAlignment="1">
      <alignment horizontal="center" vertical="top"/>
    </xf>
    <xf numFmtId="0" fontId="5" fillId="4" borderId="0" xfId="3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6" fillId="3" borderId="0" xfId="3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3" applyFont="1" applyFill="1" applyAlignment="1">
      <alignment wrapText="1"/>
    </xf>
    <xf numFmtId="0" fontId="8" fillId="0" borderId="2" xfId="1" applyFont="1" applyFill="1" applyBorder="1"/>
    <xf numFmtId="0" fontId="1" fillId="0" borderId="2" xfId="1" applyFill="1" applyBorder="1"/>
    <xf numFmtId="0" fontId="6" fillId="6" borderId="0" xfId="3" applyFont="1" applyFill="1" applyAlignment="1">
      <alignment horizontal="center"/>
    </xf>
    <xf numFmtId="0" fontId="10" fillId="0" borderId="0" xfId="0" applyFont="1" applyBorder="1"/>
    <xf numFmtId="0" fontId="10" fillId="0" borderId="0" xfId="0" applyFont="1"/>
    <xf numFmtId="0" fontId="11" fillId="0" borderId="4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0" fontId="11" fillId="0" borderId="13" xfId="0" applyFont="1" applyBorder="1" applyAlignment="1">
      <alignment horizontal="right"/>
    </xf>
    <xf numFmtId="0" fontId="11" fillId="0" borderId="6" xfId="0" applyFont="1" applyBorder="1" applyAlignment="1">
      <alignment horizontal="right" wrapText="1"/>
    </xf>
    <xf numFmtId="0" fontId="11" fillId="0" borderId="15" xfId="0" applyFont="1" applyBorder="1" applyAlignment="1">
      <alignment horizontal="right"/>
    </xf>
    <xf numFmtId="0" fontId="12" fillId="2" borderId="5" xfId="2" applyFont="1" applyBorder="1" applyAlignment="1">
      <alignment horizontal="left" indent="2"/>
    </xf>
    <xf numFmtId="2" fontId="12" fillId="2" borderId="7" xfId="2" applyNumberFormat="1" applyFont="1" applyBorder="1" applyAlignment="1">
      <alignment horizontal="left" indent="2"/>
    </xf>
    <xf numFmtId="14" fontId="12" fillId="2" borderId="7" xfId="2" applyNumberFormat="1" applyFont="1" applyBorder="1" applyAlignment="1">
      <alignment horizontal="left" indent="2"/>
    </xf>
    <xf numFmtId="2" fontId="12" fillId="2" borderId="9" xfId="2" applyNumberFormat="1" applyFont="1" applyBorder="1" applyAlignment="1">
      <alignment horizontal="left" indent="2"/>
    </xf>
    <xf numFmtId="0" fontId="12" fillId="2" borderId="9" xfId="2" applyFont="1" applyBorder="1" applyAlignment="1">
      <alignment horizontal="left" indent="2"/>
    </xf>
    <xf numFmtId="0" fontId="12" fillId="2" borderId="11" xfId="2" applyFont="1" applyBorder="1" applyAlignment="1">
      <alignment horizontal="left" indent="2"/>
    </xf>
    <xf numFmtId="0" fontId="12" fillId="2" borderId="7" xfId="2" applyFont="1" applyBorder="1" applyAlignment="1">
      <alignment horizontal="left" indent="2"/>
    </xf>
    <xf numFmtId="0" fontId="12" fillId="2" borderId="7" xfId="2" applyNumberFormat="1" applyFont="1" applyBorder="1" applyAlignment="1">
      <alignment horizontal="left" indent="2"/>
    </xf>
    <xf numFmtId="2" fontId="12" fillId="2" borderId="12" xfId="2" applyNumberFormat="1" applyFont="1" applyBorder="1" applyAlignment="1">
      <alignment horizontal="left" indent="2"/>
    </xf>
    <xf numFmtId="0" fontId="13" fillId="2" borderId="14" xfId="3" applyFont="1" applyFill="1" applyBorder="1" applyAlignment="1">
      <alignment horizontal="left" indent="2"/>
    </xf>
    <xf numFmtId="0" fontId="12" fillId="2" borderId="16" xfId="2" applyFont="1" applyBorder="1" applyAlignment="1">
      <alignment horizontal="left" indent="2"/>
    </xf>
    <xf numFmtId="164" fontId="12" fillId="2" borderId="5" xfId="2" applyNumberFormat="1" applyFont="1" applyBorder="1" applyAlignment="1">
      <alignment horizontal="left" indent="2"/>
    </xf>
    <xf numFmtId="0" fontId="14" fillId="0" borderId="0" xfId="0" applyFont="1" applyBorder="1" applyAlignment="1">
      <alignment wrapText="1"/>
    </xf>
    <xf numFmtId="0" fontId="15" fillId="0" borderId="0" xfId="0" applyFont="1"/>
    <xf numFmtId="0" fontId="12" fillId="6" borderId="5" xfId="2" applyFont="1" applyFill="1" applyBorder="1" applyAlignment="1">
      <alignment horizontal="left" indent="2"/>
    </xf>
    <xf numFmtId="0" fontId="9" fillId="6" borderId="0" xfId="0" applyFont="1" applyFill="1" applyBorder="1" applyAlignment="1">
      <alignment horizontal="left" vertical="center" indent="3"/>
    </xf>
    <xf numFmtId="164" fontId="16" fillId="6" borderId="0" xfId="2" applyNumberFormat="1" applyFont="1" applyFill="1" applyBorder="1" applyAlignment="1">
      <alignment horizontal="center" vertical="center"/>
    </xf>
    <xf numFmtId="0" fontId="16" fillId="6" borderId="0" xfId="2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/>
    </xf>
    <xf numFmtId="0" fontId="18" fillId="4" borderId="18" xfId="3" applyFont="1" applyFill="1" applyBorder="1" applyAlignment="1">
      <alignment horizontal="center" vertical="center"/>
    </xf>
    <xf numFmtId="0" fontId="18" fillId="4" borderId="17" xfId="3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19" fillId="5" borderId="0" xfId="0" applyFont="1" applyFill="1" applyAlignment="1">
      <alignment horizontal="center"/>
    </xf>
    <xf numFmtId="0" fontId="21" fillId="0" borderId="19" xfId="0" applyFont="1" applyBorder="1" applyAlignment="1">
      <alignment horizontal="center"/>
    </xf>
    <xf numFmtId="165" fontId="20" fillId="0" borderId="0" xfId="0" applyNumberFormat="1" applyFont="1" applyAlignment="1">
      <alignment horizontal="center"/>
    </xf>
    <xf numFmtId="165" fontId="21" fillId="0" borderId="19" xfId="0" applyNumberFormat="1" applyFont="1" applyBorder="1" applyAlignment="1">
      <alignment horizontal="center"/>
    </xf>
    <xf numFmtId="0" fontId="22" fillId="4" borderId="17" xfId="3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23" fillId="3" borderId="0" xfId="3" applyFont="1" applyFill="1" applyAlignment="1">
      <alignment horizontal="center" vertical="center"/>
    </xf>
    <xf numFmtId="0" fontId="23" fillId="4" borderId="0" xfId="3" applyFont="1" applyFill="1" applyAlignment="1">
      <alignment horizontal="center" vertical="center"/>
    </xf>
    <xf numFmtId="0" fontId="9" fillId="5" borderId="3" xfId="0" applyFont="1" applyFill="1" applyBorder="1" applyAlignment="1">
      <alignment horizontal="left" vertical="center" indent="3"/>
    </xf>
    <xf numFmtId="0" fontId="16" fillId="6" borderId="0" xfId="2" applyFont="1" applyFill="1" applyBorder="1" applyAlignment="1">
      <alignment horizontal="left" vertical="center"/>
    </xf>
    <xf numFmtId="164" fontId="16" fillId="2" borderId="0" xfId="2" applyNumberFormat="1" applyFont="1" applyBorder="1" applyAlignment="1">
      <alignment horizontal="center" vertical="center"/>
    </xf>
    <xf numFmtId="0" fontId="16" fillId="2" borderId="0" xfId="2" applyFont="1" applyBorder="1" applyAlignment="1">
      <alignment horizontal="center" vertical="center"/>
    </xf>
    <xf numFmtId="0" fontId="19" fillId="7" borderId="0" xfId="0" applyFont="1" applyFill="1" applyAlignment="1">
      <alignment horizontal="center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5">
    <dxf>
      <font>
        <name val="Microsoft YaHei"/>
      </font>
      <alignment horizontal="center"/>
    </dxf>
    <dxf>
      <font>
        <name val="Microsoft YaHei"/>
      </font>
      <alignment horizontal="center"/>
    </dxf>
    <dxf>
      <font>
        <name val="Microsoft YaHei"/>
      </font>
      <alignment horizontal="center"/>
    </dxf>
    <dxf>
      <font>
        <name val="Microsoft YaHei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Microsoft YaHei"/>
        <scheme val="minor"/>
      </font>
      <fill>
        <patternFill patternType="solid">
          <fgColor indexed="64"/>
          <bgColor rgb="FFEBB0DC"/>
        </patternFill>
      </fill>
      <alignment horizontal="center"/>
    </dxf>
  </dxfs>
  <tableStyles count="0" defaultTableStyle="TableStyleMedium2" defaultPivotStyle="PivotStyleMedium9"/>
  <colors>
    <mruColors>
      <color rgb="FF0E1317"/>
      <color rgb="FF793B94"/>
      <color rgb="FFEBB0DC"/>
      <color rgb="FFEE37BF"/>
      <color rgb="FFD973CF"/>
      <color rgb="FFBF7DC9"/>
      <color rgb="FF914094"/>
      <color rgb="FF6B426E"/>
      <color rgb="FFBF49F5"/>
      <color rgb="FFA85D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2</xdr:row>
      <xdr:rowOff>0</xdr:rowOff>
    </xdr:from>
    <xdr:to>
      <xdr:col>0</xdr:col>
      <xdr:colOff>1571625</xdr:colOff>
      <xdr:row>8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997E64-A385-4F2B-B9B2-CD845E416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381000"/>
          <a:ext cx="1257300" cy="14097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0</xdr:row>
      <xdr:rowOff>66675</xdr:rowOff>
    </xdr:from>
    <xdr:to>
      <xdr:col>0</xdr:col>
      <xdr:colOff>1676400</xdr:colOff>
      <xdr:row>2</xdr:row>
      <xdr:rowOff>76200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4370E697-B25A-4F0D-8B14-9C6C95035783}"/>
            </a:ext>
            <a:ext uri="{147F2762-F138-4A5C-976F-8EAC2B608ADB}">
              <a16:predDERef xmlns:a16="http://schemas.microsoft.com/office/drawing/2014/main" pred="{59997E64-A385-4F2B-B9B2-CD845E416EE9}"/>
            </a:ext>
          </a:extLst>
        </xdr:cNvPr>
        <xdr:cNvSpPr/>
      </xdr:nvSpPr>
      <xdr:spPr>
        <a:xfrm>
          <a:off x="133350" y="66675"/>
          <a:ext cx="1543050" cy="390525"/>
        </a:xfrm>
        <a:prstGeom prst="round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793B94"/>
              </a:solidFill>
              <a:latin typeface="Aptos" panose="020B0004020202020204" pitchFamily="34" charset="0"/>
            </a:rPr>
            <a:t>LION</a:t>
          </a:r>
          <a:r>
            <a:rPr lang="en-US" sz="2000" b="1" i="0" u="none" strike="noStrike">
              <a:solidFill>
                <a:srgbClr val="914094"/>
              </a:solidFill>
              <a:latin typeface="Aptos" panose="020B0004020202020204" pitchFamily="34" charset="0"/>
            </a:rPr>
            <a:t> APP</a:t>
          </a:r>
        </a:p>
      </xdr:txBody>
    </xdr:sp>
    <xdr:clientData/>
  </xdr:twoCellAnchor>
  <xdr:twoCellAnchor>
    <xdr:from>
      <xdr:col>0</xdr:col>
      <xdr:colOff>333375</xdr:colOff>
      <xdr:row>14</xdr:row>
      <xdr:rowOff>38100</xdr:rowOff>
    </xdr:from>
    <xdr:to>
      <xdr:col>0</xdr:col>
      <xdr:colOff>1504950</xdr:colOff>
      <xdr:row>14</xdr:row>
      <xdr:rowOff>266700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9EA45194-9217-44AA-809A-9FFC3446A183}"/>
            </a:ext>
            <a:ext uri="{147F2762-F138-4A5C-976F-8EAC2B608ADB}">
              <a16:predDERef xmlns:a16="http://schemas.microsoft.com/office/drawing/2014/main" pred="{4370E697-B25A-4F0D-8B14-9C6C95035783}"/>
            </a:ext>
          </a:extLst>
        </xdr:cNvPr>
        <xdr:cNvSpPr/>
      </xdr:nvSpPr>
      <xdr:spPr>
        <a:xfrm>
          <a:off x="333375" y="3362325"/>
          <a:ext cx="1171575" cy="228600"/>
        </a:xfrm>
        <a:prstGeom prst="round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DIO</a:t>
          </a:r>
          <a:r>
            <a:rPr lang="en-US" sz="9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💜</a:t>
          </a:r>
        </a:p>
      </xdr:txBody>
    </xdr:sp>
    <xdr:clientData/>
  </xdr:twoCellAnchor>
  <xdr:twoCellAnchor>
    <xdr:from>
      <xdr:col>0</xdr:col>
      <xdr:colOff>295275</xdr:colOff>
      <xdr:row>14</xdr:row>
      <xdr:rowOff>19050</xdr:rowOff>
    </xdr:from>
    <xdr:to>
      <xdr:col>0</xdr:col>
      <xdr:colOff>1571625</xdr:colOff>
      <xdr:row>14</xdr:row>
      <xdr:rowOff>28575</xdr:rowOff>
    </xdr:to>
    <xdr:cxnSp macro="">
      <xdr:nvCxnSpPr>
        <xdr:cNvPr id="12" name="Conector Reto 12">
          <a:extLst>
            <a:ext uri="{FF2B5EF4-FFF2-40B4-BE49-F238E27FC236}">
              <a16:creationId xmlns:a16="http://schemas.microsoft.com/office/drawing/2014/main" id="{87CD1563-3636-4B37-AE63-0543CC506DD4}"/>
            </a:ext>
            <a:ext uri="{147F2762-F138-4A5C-976F-8EAC2B608ADB}">
              <a16:predDERef xmlns:a16="http://schemas.microsoft.com/office/drawing/2014/main" pred="{9EA45194-9217-44AA-809A-9FFC3446A183}"/>
            </a:ext>
          </a:extLst>
        </xdr:cNvPr>
        <xdr:cNvCxnSpPr>
          <a:cxnSpLocks/>
        </xdr:cNvCxnSpPr>
      </xdr:nvCxnSpPr>
      <xdr:spPr>
        <a:xfrm flipV="1">
          <a:off x="295275" y="3343275"/>
          <a:ext cx="1276350" cy="9525"/>
        </a:xfrm>
        <a:prstGeom prst="line">
          <a:avLst/>
        </a:prstGeom>
        <a:ln>
          <a:solidFill>
            <a:srgbClr val="793B94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790575</xdr:colOff>
      <xdr:row>14</xdr:row>
      <xdr:rowOff>276225</xdr:rowOff>
    </xdr:from>
    <xdr:to>
      <xdr:col>0</xdr:col>
      <xdr:colOff>1095375</xdr:colOff>
      <xdr:row>16</xdr:row>
      <xdr:rowOff>38100</xdr:rowOff>
    </xdr:to>
    <xdr:pic>
      <xdr:nvPicPr>
        <xdr:cNvPr id="4" name="Imagem 13">
          <a:extLst>
            <a:ext uri="{FF2B5EF4-FFF2-40B4-BE49-F238E27FC236}">
              <a16:creationId xmlns:a16="http://schemas.microsoft.com/office/drawing/2014/main" id="{F83B21A7-1332-4139-8474-13B7B061901D}"/>
            </a:ext>
            <a:ext uri="{147F2762-F138-4A5C-976F-8EAC2B608ADB}">
              <a16:predDERef xmlns:a16="http://schemas.microsoft.com/office/drawing/2014/main" pred="{4906ACD0-E862-4069-B378-91FE7DEB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3600450"/>
          <a:ext cx="304800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161925</xdr:rowOff>
    </xdr:from>
    <xdr:to>
      <xdr:col>0</xdr:col>
      <xdr:colOff>1495425</xdr:colOff>
      <xdr:row>8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FC3CED-EE79-47F3-B50A-4ADE67EBE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52425"/>
          <a:ext cx="1257300" cy="14097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95250</xdr:rowOff>
    </xdr:from>
    <xdr:to>
      <xdr:col>0</xdr:col>
      <xdr:colOff>1704975</xdr:colOff>
      <xdr:row>2</xdr:row>
      <xdr:rowOff>104775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D6498018-A13D-4FA6-A960-724C81013562}"/>
            </a:ext>
            <a:ext uri="{147F2762-F138-4A5C-976F-8EAC2B608ADB}">
              <a16:predDERef xmlns:a16="http://schemas.microsoft.com/office/drawing/2014/main" pred="{2FFC3CED-EE79-47F3-B50A-4ADE67EBE28B}"/>
            </a:ext>
          </a:extLst>
        </xdr:cNvPr>
        <xdr:cNvSpPr/>
      </xdr:nvSpPr>
      <xdr:spPr>
        <a:xfrm>
          <a:off x="0" y="95250"/>
          <a:ext cx="1704975" cy="390525"/>
        </a:xfrm>
        <a:prstGeom prst="round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793B94"/>
              </a:solidFill>
              <a:latin typeface="Aptos" panose="020B0004020202020204" pitchFamily="34" charset="0"/>
            </a:rPr>
            <a:t>LION</a:t>
          </a:r>
          <a:r>
            <a:rPr lang="en-US" sz="2000" b="1" i="0" u="none" strike="noStrike">
              <a:solidFill>
                <a:srgbClr val="914094"/>
              </a:solidFill>
              <a:latin typeface="Aptos" panose="020B0004020202020204" pitchFamily="34" charset="0"/>
            </a:rPr>
            <a:t> APP</a:t>
          </a:r>
        </a:p>
      </xdr:txBody>
    </xdr:sp>
    <xdr:clientData/>
  </xdr:twoCellAnchor>
  <xdr:twoCellAnchor>
    <xdr:from>
      <xdr:col>0</xdr:col>
      <xdr:colOff>266700</xdr:colOff>
      <xdr:row>14</xdr:row>
      <xdr:rowOff>228600</xdr:rowOff>
    </xdr:from>
    <xdr:to>
      <xdr:col>0</xdr:col>
      <xdr:colOff>1466850</xdr:colOff>
      <xdr:row>15</xdr:row>
      <xdr:rowOff>161925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96D770C0-BFAA-49F3-9F2E-CEFB6EEB9B1D}"/>
            </a:ext>
            <a:ext uri="{147F2762-F138-4A5C-976F-8EAC2B608ADB}">
              <a16:predDERef xmlns:a16="http://schemas.microsoft.com/office/drawing/2014/main" pred="{D6498018-A13D-4FA6-A960-724C81013562}"/>
            </a:ext>
          </a:extLst>
        </xdr:cNvPr>
        <xdr:cNvSpPr/>
      </xdr:nvSpPr>
      <xdr:spPr>
        <a:xfrm>
          <a:off x="266700" y="3362325"/>
          <a:ext cx="1200150" cy="219075"/>
        </a:xfrm>
        <a:prstGeom prst="round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DIO</a:t>
          </a:r>
          <a:r>
            <a:rPr lang="en-US" sz="9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💜</a:t>
          </a:r>
        </a:p>
      </xdr:txBody>
    </xdr:sp>
    <xdr:clientData/>
  </xdr:twoCellAnchor>
  <xdr:twoCellAnchor>
    <xdr:from>
      <xdr:col>0</xdr:col>
      <xdr:colOff>228600</xdr:colOff>
      <xdr:row>14</xdr:row>
      <xdr:rowOff>219075</xdr:rowOff>
    </xdr:from>
    <xdr:to>
      <xdr:col>0</xdr:col>
      <xdr:colOff>1504950</xdr:colOff>
      <xdr:row>14</xdr:row>
      <xdr:rowOff>228600</xdr:rowOff>
    </xdr:to>
    <xdr:cxnSp macro="">
      <xdr:nvCxnSpPr>
        <xdr:cNvPr id="12" name="Conector Reto 12">
          <a:extLst>
            <a:ext uri="{FF2B5EF4-FFF2-40B4-BE49-F238E27FC236}">
              <a16:creationId xmlns:a16="http://schemas.microsoft.com/office/drawing/2014/main" id="{932E7288-D503-4A6C-89C7-9C8E084F8211}"/>
            </a:ext>
            <a:ext uri="{147F2762-F138-4A5C-976F-8EAC2B608ADB}">
              <a16:predDERef xmlns:a16="http://schemas.microsoft.com/office/drawing/2014/main" pred="{96D770C0-BFAA-49F3-9F2E-CEFB6EEB9B1D}"/>
            </a:ext>
          </a:extLst>
        </xdr:cNvPr>
        <xdr:cNvCxnSpPr>
          <a:cxnSpLocks/>
        </xdr:cNvCxnSpPr>
      </xdr:nvCxnSpPr>
      <xdr:spPr>
        <a:xfrm flipV="1">
          <a:off x="228600" y="3352800"/>
          <a:ext cx="1276350" cy="9525"/>
        </a:xfrm>
        <a:prstGeom prst="line">
          <a:avLst/>
        </a:prstGeom>
        <a:ln>
          <a:solidFill>
            <a:srgbClr val="793B94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685800</xdr:colOff>
      <xdr:row>15</xdr:row>
      <xdr:rowOff>180975</xdr:rowOff>
    </xdr:from>
    <xdr:to>
      <xdr:col>0</xdr:col>
      <xdr:colOff>990600</xdr:colOff>
      <xdr:row>16</xdr:row>
      <xdr:rowOff>257175</xdr:rowOff>
    </xdr:to>
    <xdr:pic>
      <xdr:nvPicPr>
        <xdr:cNvPr id="4" name="Imagem 12">
          <a:extLst>
            <a:ext uri="{FF2B5EF4-FFF2-40B4-BE49-F238E27FC236}">
              <a16:creationId xmlns:a16="http://schemas.microsoft.com/office/drawing/2014/main" id="{5D7F87FD-7737-4946-B3EF-517E7D1596CC}"/>
            </a:ext>
            <a:ext uri="{147F2762-F138-4A5C-976F-8EAC2B608ADB}">
              <a16:predDERef xmlns:a16="http://schemas.microsoft.com/office/drawing/2014/main" pred="{698D2652-C24C-4436-AD39-8C637531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600450"/>
          <a:ext cx="304800" cy="314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2</xdr:row>
      <xdr:rowOff>9525</xdr:rowOff>
    </xdr:from>
    <xdr:to>
      <xdr:col>0</xdr:col>
      <xdr:colOff>1495425</xdr:colOff>
      <xdr:row>8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D5EA90-BE75-467A-AFC3-77BA74A45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90525"/>
          <a:ext cx="1257300" cy="14097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95250</xdr:rowOff>
    </xdr:from>
    <xdr:to>
      <xdr:col>0</xdr:col>
      <xdr:colOff>1704975</xdr:colOff>
      <xdr:row>2</xdr:row>
      <xdr:rowOff>104775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1D636DE1-7918-4984-BA02-592975339237}"/>
            </a:ext>
            <a:ext uri="{147F2762-F138-4A5C-976F-8EAC2B608ADB}">
              <a16:predDERef xmlns:a16="http://schemas.microsoft.com/office/drawing/2014/main" pred="{81D5EA90-BE75-467A-AFC3-77BA74A45A44}"/>
            </a:ext>
          </a:extLst>
        </xdr:cNvPr>
        <xdr:cNvSpPr/>
      </xdr:nvSpPr>
      <xdr:spPr>
        <a:xfrm>
          <a:off x="0" y="95250"/>
          <a:ext cx="1704975" cy="390525"/>
        </a:xfrm>
        <a:prstGeom prst="round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793B94"/>
              </a:solidFill>
              <a:latin typeface="Aptos" panose="020B0004020202020204" pitchFamily="34" charset="0"/>
            </a:rPr>
            <a:t>LION</a:t>
          </a:r>
          <a:r>
            <a:rPr lang="en-US" sz="2000" b="1" i="0" u="none" strike="noStrike">
              <a:solidFill>
                <a:srgbClr val="914094"/>
              </a:solidFill>
              <a:latin typeface="Aptos" panose="020B0004020202020204" pitchFamily="34" charset="0"/>
            </a:rPr>
            <a:t> APP</a:t>
          </a:r>
        </a:p>
      </xdr:txBody>
    </xdr:sp>
    <xdr:clientData/>
  </xdr:twoCellAnchor>
  <xdr:twoCellAnchor>
    <xdr:from>
      <xdr:col>0</xdr:col>
      <xdr:colOff>228600</xdr:colOff>
      <xdr:row>15</xdr:row>
      <xdr:rowOff>0</xdr:rowOff>
    </xdr:from>
    <xdr:to>
      <xdr:col>0</xdr:col>
      <xdr:colOff>1676400</xdr:colOff>
      <xdr:row>16</xdr:row>
      <xdr:rowOff>95250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E4996DE7-F16D-8E6A-FA76-863C711B8F7B}"/>
            </a:ext>
            <a:ext uri="{147F2762-F138-4A5C-976F-8EAC2B608ADB}">
              <a16:predDERef xmlns:a16="http://schemas.microsoft.com/office/drawing/2014/main" pred="{1D636DE1-7918-4984-BA02-592975339237}"/>
            </a:ext>
          </a:extLst>
        </xdr:cNvPr>
        <xdr:cNvSpPr/>
      </xdr:nvSpPr>
      <xdr:spPr>
        <a:xfrm>
          <a:off x="228600" y="3267075"/>
          <a:ext cx="1447800" cy="257175"/>
        </a:xfrm>
        <a:prstGeom prst="round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DIO</a:t>
          </a:r>
          <a:r>
            <a:rPr lang="en-US" sz="9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💜</a:t>
          </a:r>
        </a:p>
      </xdr:txBody>
    </xdr:sp>
    <xdr:clientData/>
  </xdr:twoCellAnchor>
  <xdr:twoCellAnchor>
    <xdr:from>
      <xdr:col>0</xdr:col>
      <xdr:colOff>266700</xdr:colOff>
      <xdr:row>14</xdr:row>
      <xdr:rowOff>228600</xdr:rowOff>
    </xdr:from>
    <xdr:to>
      <xdr:col>0</xdr:col>
      <xdr:colOff>1543050</xdr:colOff>
      <xdr:row>15</xdr:row>
      <xdr:rowOff>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BFABED6-7A56-C9EF-028C-AB012CC32047}"/>
            </a:ext>
            <a:ext uri="{147F2762-F138-4A5C-976F-8EAC2B608ADB}">
              <a16:predDERef xmlns:a16="http://schemas.microsoft.com/office/drawing/2014/main" pred="{E4996DE7-F16D-8E6A-FA76-863C711B8F7B}"/>
            </a:ext>
          </a:extLst>
        </xdr:cNvPr>
        <xdr:cNvCxnSpPr>
          <a:cxnSpLocks/>
        </xdr:cNvCxnSpPr>
      </xdr:nvCxnSpPr>
      <xdr:spPr>
        <a:xfrm flipV="1">
          <a:off x="266700" y="3257550"/>
          <a:ext cx="1276350" cy="9525"/>
        </a:xfrm>
        <a:prstGeom prst="line">
          <a:avLst/>
        </a:prstGeom>
        <a:ln>
          <a:solidFill>
            <a:srgbClr val="793B94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723900</xdr:colOff>
      <xdr:row>16</xdr:row>
      <xdr:rowOff>104775</xdr:rowOff>
    </xdr:from>
    <xdr:to>
      <xdr:col>0</xdr:col>
      <xdr:colOff>1028700</xdr:colOff>
      <xdr:row>17</xdr:row>
      <xdr:rowOff>200025</xdr:rowOff>
    </xdr:to>
    <xdr:pic>
      <xdr:nvPicPr>
        <xdr:cNvPr id="4" name="Imagem 20">
          <a:extLst>
            <a:ext uri="{FF2B5EF4-FFF2-40B4-BE49-F238E27FC236}">
              <a16:creationId xmlns:a16="http://schemas.microsoft.com/office/drawing/2014/main" id="{54F6627C-DDC8-48C0-8C26-59E0CC3A1ED6}"/>
            </a:ext>
            <a:ext uri="{147F2762-F138-4A5C-976F-8EAC2B608ADB}">
              <a16:predDERef xmlns:a16="http://schemas.microsoft.com/office/drawing/2014/main" pred="{DBFABED6-7A56-C9EF-028C-AB012CC3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3533775"/>
          <a:ext cx="304800" cy="314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67197-8F5A-41C8-AA38-3C2BFED402CD}" name="Tabela1" displayName="Tabela1" ref="C10:E47" headerRowDxfId="4" dataDxfId="3">
  <autoFilter ref="C10:E47" xr:uid="{48D67197-8F5A-41C8-AA38-3C2BFED402CD}"/>
  <tableColumns count="3">
    <tableColumn id="1" xr3:uid="{96738E1D-9553-4F5B-A757-336A6B07BBF2}" name="DATA" totalsRowLabel="Total" dataDxfId="2"/>
    <tableColumn id="2" xr3:uid="{0D465BFC-8597-41E4-8C61-0AA6F5EA6F0C}" name="CATEGORIA" dataDxfId="1"/>
    <tableColumn id="3" xr3:uid="{A78009A6-628C-4AE1-A7F8-891B8D778686}" name="VALORES" totalsRowFunction="coun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haysousa88@gmail.com" TargetMode="External"/><Relationship Id="rId1" Type="http://schemas.openxmlformats.org/officeDocument/2006/relationships/hyperlink" Target="mailto:joao.silv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chaysousa88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690A-4ACF-49DA-A43F-91C14705CC77}">
  <dimension ref="A4:F22"/>
  <sheetViews>
    <sheetView showGridLines="0" showRowColHeaders="0" tabSelected="1" workbookViewId="0">
      <pane xSplit="1" topLeftCell="B1" activePane="topRight" state="frozen"/>
      <selection pane="topRight" activeCell="E14" sqref="E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8" style="1" customWidth="1"/>
    <col min="3" max="3" width="62.28515625" customWidth="1"/>
    <col min="4" max="4" width="54" customWidth="1"/>
  </cols>
  <sheetData>
    <row r="4" spans="1:6" ht="19.5">
      <c r="C4" s="10" t="s">
        <v>0</v>
      </c>
      <c r="D4" s="11"/>
      <c r="E4" s="11"/>
      <c r="F4" s="2"/>
    </row>
    <row r="5" spans="1:6">
      <c r="B5" s="2"/>
      <c r="C5" s="53" t="s">
        <v>1</v>
      </c>
      <c r="D5" s="53"/>
      <c r="E5" s="53"/>
      <c r="F5" s="2"/>
    </row>
    <row r="6" spans="1:6" ht="18.75">
      <c r="C6" s="13"/>
      <c r="D6" s="14"/>
    </row>
    <row r="7" spans="1:6" ht="20.25">
      <c r="C7" s="15" t="s">
        <v>2</v>
      </c>
      <c r="D7" s="22" t="s">
        <v>3</v>
      </c>
    </row>
    <row r="8" spans="1:6" ht="20.25">
      <c r="C8" s="16" t="s">
        <v>4</v>
      </c>
      <c r="D8" s="23" t="s">
        <v>5</v>
      </c>
    </row>
    <row r="9" spans="1:6" ht="20.25" customHeight="1">
      <c r="A9" s="5" t="str">
        <f>HYPERLINK("#TITULAR!A1","TITULAR")</f>
        <v>TITULAR</v>
      </c>
      <c r="C9" s="17" t="s">
        <v>6</v>
      </c>
      <c r="D9" s="24">
        <v>32914</v>
      </c>
    </row>
    <row r="10" spans="1:6" ht="20.25">
      <c r="C10" s="16" t="s">
        <v>7</v>
      </c>
      <c r="D10" s="25" t="s">
        <v>8</v>
      </c>
    </row>
    <row r="11" spans="1:6" ht="22.5">
      <c r="A11" s="4" t="s">
        <v>9</v>
      </c>
      <c r="C11" s="16" t="s">
        <v>10</v>
      </c>
      <c r="D11" s="26" t="s">
        <v>11</v>
      </c>
    </row>
    <row r="12" spans="1:6" ht="20.25">
      <c r="C12" s="18" t="s">
        <v>12</v>
      </c>
      <c r="D12" s="27" t="s">
        <v>13</v>
      </c>
    </row>
    <row r="13" spans="1:6" ht="22.5" customHeight="1">
      <c r="A13" s="4" t="s">
        <v>14</v>
      </c>
      <c r="C13" s="16" t="s">
        <v>15</v>
      </c>
      <c r="D13" s="28" t="s">
        <v>13</v>
      </c>
    </row>
    <row r="14" spans="1:6" ht="17.25" customHeight="1">
      <c r="A14" s="4"/>
      <c r="C14" s="17" t="s">
        <v>16</v>
      </c>
      <c r="D14" s="29" t="s">
        <v>17</v>
      </c>
    </row>
    <row r="15" spans="1:6" ht="23.25" customHeight="1">
      <c r="A15" s="4"/>
      <c r="C15" s="16" t="s">
        <v>18</v>
      </c>
      <c r="D15" s="30" t="s">
        <v>19</v>
      </c>
    </row>
    <row r="16" spans="1:6" ht="20.25" customHeight="1">
      <c r="A16" s="9" t="s">
        <v>20</v>
      </c>
      <c r="C16" s="19" t="s">
        <v>21</v>
      </c>
      <c r="D16" s="23" t="s">
        <v>22</v>
      </c>
    </row>
    <row r="17" spans="1:4" ht="20.25" customHeight="1">
      <c r="A17" s="4"/>
      <c r="C17" s="17" t="s">
        <v>23</v>
      </c>
      <c r="D17" s="31" t="s">
        <v>24</v>
      </c>
    </row>
    <row r="18" spans="1:4" ht="24">
      <c r="A18" s="3"/>
      <c r="C18" s="20" t="s">
        <v>25</v>
      </c>
      <c r="D18" s="28" t="s">
        <v>26</v>
      </c>
    </row>
    <row r="19" spans="1:4" ht="20.25">
      <c r="B19" s="2"/>
      <c r="C19" s="16" t="s">
        <v>27</v>
      </c>
      <c r="D19" s="28" t="s">
        <v>28</v>
      </c>
    </row>
    <row r="20" spans="1:4" ht="20.25">
      <c r="B20" s="2"/>
      <c r="C20" s="21" t="s">
        <v>29</v>
      </c>
      <c r="D20" s="32" t="s">
        <v>28</v>
      </c>
    </row>
    <row r="21" spans="1:4" ht="20.25" customHeight="1">
      <c r="A21" s="9"/>
      <c r="D21" s="12"/>
    </row>
    <row r="22" spans="1:4" ht="18.75" customHeight="1">
      <c r="D22" s="40" t="s">
        <v>30</v>
      </c>
    </row>
  </sheetData>
  <sheetProtection sheet="1" objects="1" scenarios="1"/>
  <protectedRanges>
    <protectedRange sqref="D7:D20" name="Range1"/>
  </protectedRanges>
  <mergeCells count="1">
    <mergeCell ref="C5:E5"/>
  </mergeCells>
  <dataValidations count="1">
    <dataValidation type="list" allowBlank="1" showInputMessage="1" showErrorMessage="1" sqref="D18:D20" xr:uid="{1243B602-84CA-485E-92CC-5C7620FFC2DE}">
      <formula1>"SIM,NÃO "</formula1>
    </dataValidation>
  </dataValidations>
  <hyperlinks>
    <hyperlink ref="D17" r:id="rId1" xr:uid="{E30FE76A-EAE8-4072-92D5-C97CDA9CF4B1}"/>
    <hyperlink ref="D22" location="'INFORMES'!A1" display="PROXIMO" xr:uid="{DD3D183E-B495-4C60-97E4-007234DCCAEA}"/>
    <hyperlink ref="A11" location="'INFORMES'!A1" display="INFORMES" xr:uid="{6CA72430-D7BE-4E64-A1C7-410E1B8CABC3}"/>
    <hyperlink ref="A13" location="'NOTAS'!A1" display="NOTAS" xr:uid="{84AF6053-5CE4-4C87-B9F8-4C6DA9291D45}"/>
    <hyperlink ref="A16" r:id="rId2" xr:uid="{85D2B2A9-4DD0-47ED-9789-637B8C95BF0B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4850-F5C8-452A-9DEF-A8A392C63C75}">
  <dimension ref="A4:E25"/>
  <sheetViews>
    <sheetView showGridLines="0" showRowColHeaders="0" topLeftCell="A11" workbookViewId="0">
      <selection activeCell="A14" sqref="A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7" style="1" customWidth="1"/>
    <col min="3" max="3" width="67" customWidth="1"/>
    <col min="4" max="4" width="56.85546875" customWidth="1"/>
  </cols>
  <sheetData>
    <row r="4" spans="1:5" ht="19.5">
      <c r="C4" s="10" t="s">
        <v>31</v>
      </c>
      <c r="D4" s="11"/>
      <c r="E4" s="11"/>
    </row>
    <row r="5" spans="1:5">
      <c r="C5" s="53" t="s">
        <v>32</v>
      </c>
      <c r="D5" s="53"/>
      <c r="E5" s="53"/>
    </row>
    <row r="6" spans="1:5">
      <c r="C6" s="37"/>
      <c r="D6" s="37"/>
      <c r="E6" s="37"/>
    </row>
    <row r="7" spans="1:5">
      <c r="C7" s="54" t="s">
        <v>33</v>
      </c>
      <c r="D7" s="54"/>
      <c r="E7" s="37"/>
    </row>
    <row r="8" spans="1:5">
      <c r="C8" s="55">
        <f>SUM(D12,D17,D22)</f>
        <v>435000</v>
      </c>
      <c r="D8" s="56"/>
      <c r="E8" s="37"/>
    </row>
    <row r="9" spans="1:5">
      <c r="C9" s="38"/>
      <c r="D9" s="39"/>
      <c r="E9" s="37"/>
    </row>
    <row r="10" spans="1:5" ht="22.5" customHeight="1">
      <c r="A10" s="4" t="s">
        <v>34</v>
      </c>
      <c r="C10" s="35" t="s">
        <v>35</v>
      </c>
    </row>
    <row r="11" spans="1:5" ht="20.25">
      <c r="C11" s="15" t="s">
        <v>36</v>
      </c>
      <c r="D11" s="22" t="s">
        <v>37</v>
      </c>
    </row>
    <row r="12" spans="1:5" ht="22.5">
      <c r="A12" s="5" t="s">
        <v>9</v>
      </c>
      <c r="C12" s="15" t="s">
        <v>38</v>
      </c>
      <c r="D12" s="33">
        <v>60000</v>
      </c>
    </row>
    <row r="13" spans="1:5" ht="20.25">
      <c r="C13" s="15" t="s">
        <v>39</v>
      </c>
      <c r="D13" s="22" t="s">
        <v>40</v>
      </c>
    </row>
    <row r="14" spans="1:5" ht="21.75" customHeight="1">
      <c r="A14" s="4" t="s">
        <v>14</v>
      </c>
      <c r="C14" s="15"/>
      <c r="D14" s="36"/>
    </row>
    <row r="15" spans="1:5" ht="22.5">
      <c r="A15" s="4"/>
      <c r="C15" s="35" t="s">
        <v>41</v>
      </c>
    </row>
    <row r="16" spans="1:5" ht="18.75" customHeight="1">
      <c r="A16" s="6"/>
      <c r="C16" s="15" t="s">
        <v>36</v>
      </c>
      <c r="D16" s="22" t="s">
        <v>42</v>
      </c>
    </row>
    <row r="17" spans="1:4" ht="21.75" customHeight="1">
      <c r="A17" s="9" t="s">
        <v>20</v>
      </c>
      <c r="C17" s="15" t="s">
        <v>38</v>
      </c>
      <c r="D17" s="33">
        <v>300000</v>
      </c>
    </row>
    <row r="18" spans="1:4" ht="23.25" customHeight="1">
      <c r="A18" s="6"/>
      <c r="C18" s="15" t="s">
        <v>39</v>
      </c>
      <c r="D18" s="22" t="s">
        <v>40</v>
      </c>
    </row>
    <row r="19" spans="1:4" ht="26.25" customHeight="1">
      <c r="A19" s="4"/>
    </row>
    <row r="20" spans="1:4" ht="23.25" customHeight="1">
      <c r="C20" s="35" t="s">
        <v>43</v>
      </c>
    </row>
    <row r="21" spans="1:4" ht="20.25">
      <c r="C21" s="15" t="s">
        <v>36</v>
      </c>
      <c r="D21" s="22" t="s">
        <v>44</v>
      </c>
    </row>
    <row r="22" spans="1:4" ht="20.25">
      <c r="B22" s="2"/>
      <c r="C22" s="15" t="s">
        <v>38</v>
      </c>
      <c r="D22" s="33">
        <v>75000</v>
      </c>
    </row>
    <row r="23" spans="1:4" ht="20.25">
      <c r="B23" s="2"/>
      <c r="C23" s="15" t="s">
        <v>39</v>
      </c>
      <c r="D23" s="22" t="s">
        <v>40</v>
      </c>
    </row>
    <row r="24" spans="1:4" ht="18" customHeight="1">
      <c r="A24" s="9"/>
    </row>
    <row r="25" spans="1:4" ht="26.25" customHeight="1">
      <c r="C25" s="42" t="s">
        <v>45</v>
      </c>
      <c r="D25" s="41" t="s">
        <v>46</v>
      </c>
    </row>
  </sheetData>
  <sheetProtection sheet="1" objects="1" scenarios="1"/>
  <protectedRanges>
    <protectedRange sqref="D11:D23" name="Range1"/>
  </protectedRanges>
  <mergeCells count="3">
    <mergeCell ref="C5:E5"/>
    <mergeCell ref="C7:D7"/>
    <mergeCell ref="C8:D8"/>
  </mergeCells>
  <hyperlinks>
    <hyperlink ref="D25" location="'NOTAS'!A1" display="PROXIMO➡" xr:uid="{6D383C27-6E3E-454B-AE5B-5649FDB60C1A}"/>
    <hyperlink ref="C25" location="'TITULAR'!A1" display="⬅ANTERIOR " xr:uid="{A417091A-84AA-4030-8FA6-BC84A7C6C3E8}"/>
    <hyperlink ref="A10" location="'TITULAR'!A1" display="TITULAR" xr:uid="{20760689-1C12-486E-86D0-44AF35A27662}"/>
    <hyperlink ref="A12" location="'INFORMES'!A1" display="INFORMES" xr:uid="{47CB247B-EAEB-4DFE-AA2E-E487CB05A82A}"/>
    <hyperlink ref="A14" location="'NOTAS'!A1" display="NOTAS" xr:uid="{207C8FED-C017-453C-9A6B-D925BC3725D9}"/>
    <hyperlink ref="A17" r:id="rId1" xr:uid="{EFE12CEA-3304-49CC-81EB-FA60903D6851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" error="informe um Banco" promptTitle="Informe um banco" prompt="vinculado ao seu CPF" xr:uid="{B7B312FB-5511-4724-A95B-FBDE0B36A7DF}">
          <x14:formula1>
            <xm:f>Planilha1!$A$2:$A$51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5D4F-2E82-490E-9EC5-A54CC7949DCC}">
  <dimension ref="A4:E47"/>
  <sheetViews>
    <sheetView showGridLines="0" showRowColHeaders="0" workbookViewId="0">
      <selection activeCell="H22" sqref="H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6.7109375" style="1" customWidth="1"/>
    <col min="3" max="3" width="25" customWidth="1"/>
    <col min="4" max="4" width="18.5703125" customWidth="1"/>
    <col min="5" max="5" width="19.42578125" customWidth="1"/>
  </cols>
  <sheetData>
    <row r="4" spans="1:5" ht="19.5">
      <c r="C4" s="10" t="s">
        <v>47</v>
      </c>
      <c r="D4" s="11"/>
      <c r="E4" s="11"/>
    </row>
    <row r="5" spans="1:5">
      <c r="C5" s="53" t="s">
        <v>48</v>
      </c>
      <c r="D5" s="53"/>
      <c r="E5" s="53"/>
    </row>
    <row r="6" spans="1:5">
      <c r="C6" s="37"/>
      <c r="D6" s="37"/>
      <c r="E6" s="37"/>
    </row>
    <row r="7" spans="1:5" ht="22.5" customHeight="1">
      <c r="C7" s="49" t="s">
        <v>49</v>
      </c>
      <c r="D7" s="37"/>
      <c r="E7" s="37"/>
    </row>
    <row r="9" spans="1:5">
      <c r="C9" s="57" t="s">
        <v>50</v>
      </c>
      <c r="D9" s="57"/>
      <c r="E9" s="57"/>
    </row>
    <row r="10" spans="1:5" ht="21">
      <c r="A10" s="51" t="s">
        <v>34</v>
      </c>
      <c r="C10" s="45" t="s">
        <v>51</v>
      </c>
      <c r="D10" s="45" t="s">
        <v>52</v>
      </c>
      <c r="E10" s="45" t="s">
        <v>53</v>
      </c>
    </row>
    <row r="11" spans="1:5" ht="16.5">
      <c r="C11" s="47">
        <v>46044</v>
      </c>
      <c r="D11" s="43" t="s">
        <v>54</v>
      </c>
      <c r="E11" s="44">
        <v>3000</v>
      </c>
    </row>
    <row r="12" spans="1:5" ht="17.25" customHeight="1">
      <c r="A12" s="51" t="s">
        <v>9</v>
      </c>
      <c r="C12" s="47"/>
      <c r="D12" s="43"/>
      <c r="E12" s="43"/>
    </row>
    <row r="13" spans="1:5" ht="18.75" customHeight="1">
      <c r="A13" s="7"/>
      <c r="C13" s="47"/>
      <c r="D13" s="43"/>
      <c r="E13" s="43"/>
    </row>
    <row r="14" spans="1:5" ht="20.25" customHeight="1">
      <c r="A14" s="52" t="s">
        <v>14</v>
      </c>
      <c r="C14" s="47"/>
      <c r="D14" s="43"/>
      <c r="E14" s="43"/>
    </row>
    <row r="15" spans="1:5" ht="18.75" customHeight="1">
      <c r="A15" s="7"/>
      <c r="C15" s="47"/>
      <c r="D15" s="43"/>
      <c r="E15" s="43"/>
    </row>
    <row r="16" spans="1:5" ht="12.75" customHeight="1">
      <c r="A16" s="8"/>
      <c r="C16" s="47"/>
      <c r="D16" s="43"/>
      <c r="E16" s="43"/>
    </row>
    <row r="17" spans="1:5" ht="17.25" customHeight="1">
      <c r="A17" s="7"/>
      <c r="C17" s="47"/>
      <c r="D17" s="43"/>
      <c r="E17" s="43"/>
    </row>
    <row r="18" spans="1:5" ht="16.5">
      <c r="A18" s="9" t="str">
        <f>HYPERLINK("mailto:chaysousa88@gmail.com","ENVIAR E-MAIL")</f>
        <v>ENVIAR E-MAIL</v>
      </c>
      <c r="C18" s="48"/>
      <c r="D18" s="43"/>
      <c r="E18" s="46"/>
    </row>
    <row r="19" spans="1:5" ht="16.5">
      <c r="C19" s="47"/>
      <c r="D19" s="43"/>
      <c r="E19" s="43"/>
    </row>
    <row r="20" spans="1:5" ht="16.5">
      <c r="C20" s="43"/>
      <c r="D20" s="43"/>
      <c r="E20" s="43"/>
    </row>
    <row r="21" spans="1:5" ht="16.5">
      <c r="B21" s="2"/>
      <c r="C21" s="43"/>
      <c r="D21" s="43"/>
      <c r="E21" s="43"/>
    </row>
    <row r="22" spans="1:5" ht="16.5">
      <c r="B22" s="2"/>
      <c r="C22" s="50"/>
      <c r="D22" s="43"/>
      <c r="E22" s="43"/>
    </row>
    <row r="23" spans="1:5" ht="16.5">
      <c r="A23" s="9"/>
      <c r="C23" s="43"/>
      <c r="D23" s="43"/>
      <c r="E23" s="43"/>
    </row>
    <row r="24" spans="1:5" ht="16.5">
      <c r="C24" s="43"/>
      <c r="D24" s="43"/>
      <c r="E24" s="43"/>
    </row>
    <row r="25" spans="1:5" ht="16.5">
      <c r="C25" s="43"/>
      <c r="D25" s="43"/>
      <c r="E25" s="43"/>
    </row>
    <row r="26" spans="1:5" ht="16.5">
      <c r="C26" s="43"/>
      <c r="D26" s="43"/>
      <c r="E26" s="43"/>
    </row>
    <row r="27" spans="1:5" ht="16.5">
      <c r="C27" s="43"/>
      <c r="D27" s="43"/>
      <c r="E27" s="43"/>
    </row>
    <row r="28" spans="1:5" ht="16.5">
      <c r="C28" s="43"/>
      <c r="D28" s="43"/>
      <c r="E28" s="43"/>
    </row>
    <row r="29" spans="1:5" ht="16.5">
      <c r="C29" s="43"/>
      <c r="D29" s="43"/>
      <c r="E29" s="43"/>
    </row>
    <row r="30" spans="1:5" ht="16.5">
      <c r="C30" s="43"/>
      <c r="D30" s="43"/>
      <c r="E30" s="43"/>
    </row>
    <row r="31" spans="1:5" ht="16.5">
      <c r="C31" s="43"/>
      <c r="D31" s="43"/>
      <c r="E31" s="43"/>
    </row>
    <row r="32" spans="1:5" ht="16.5">
      <c r="C32" s="43"/>
      <c r="D32" s="43"/>
      <c r="E32" s="43"/>
    </row>
    <row r="33" spans="3:5" ht="16.5">
      <c r="C33" s="43"/>
      <c r="D33" s="43"/>
      <c r="E33" s="43"/>
    </row>
    <row r="34" spans="3:5" ht="16.5">
      <c r="C34" s="43"/>
      <c r="D34" s="43"/>
      <c r="E34" s="43"/>
    </row>
    <row r="35" spans="3:5" ht="16.5">
      <c r="C35" s="43"/>
      <c r="D35" s="43"/>
      <c r="E35" s="43"/>
    </row>
    <row r="36" spans="3:5" ht="16.5">
      <c r="C36" s="43"/>
      <c r="D36" s="43"/>
      <c r="E36" s="43"/>
    </row>
    <row r="37" spans="3:5" ht="16.5">
      <c r="C37" s="43"/>
      <c r="D37" s="43"/>
      <c r="E37" s="43"/>
    </row>
    <row r="38" spans="3:5" ht="16.5">
      <c r="C38" s="43"/>
      <c r="D38" s="43"/>
      <c r="E38" s="43"/>
    </row>
    <row r="39" spans="3:5" ht="16.5">
      <c r="C39" s="43"/>
      <c r="D39" s="43"/>
      <c r="E39" s="43"/>
    </row>
    <row r="40" spans="3:5" ht="16.5">
      <c r="C40" s="43"/>
      <c r="D40" s="43"/>
      <c r="E40" s="43"/>
    </row>
    <row r="41" spans="3:5" ht="16.5">
      <c r="C41" s="43"/>
      <c r="D41" s="43"/>
      <c r="E41" s="43"/>
    </row>
    <row r="42" spans="3:5" ht="16.5">
      <c r="C42" s="43"/>
      <c r="D42" s="43"/>
      <c r="E42" s="43"/>
    </row>
    <row r="43" spans="3:5" ht="16.5">
      <c r="C43" s="43"/>
      <c r="D43" s="43"/>
      <c r="E43" s="43"/>
    </row>
    <row r="44" spans="3:5" ht="16.5">
      <c r="C44" s="43"/>
      <c r="D44" s="43"/>
      <c r="E44" s="43"/>
    </row>
    <row r="45" spans="3:5" ht="16.5">
      <c r="C45" s="43"/>
      <c r="D45" s="43"/>
      <c r="E45" s="43"/>
    </row>
    <row r="46" spans="3:5" ht="16.5">
      <c r="C46" s="43"/>
      <c r="D46" s="43"/>
      <c r="E46" s="43"/>
    </row>
    <row r="47" spans="3:5" ht="16.5">
      <c r="C47" s="43"/>
      <c r="D47" s="43"/>
      <c r="E47" s="43"/>
    </row>
  </sheetData>
  <sheetProtection sheet="1" objects="1" scenarios="1"/>
  <protectedRanges>
    <protectedRange sqref="C11:E47" name="Range1"/>
  </protectedRanges>
  <mergeCells count="2">
    <mergeCell ref="C5:E5"/>
    <mergeCell ref="C9:E9"/>
  </mergeCells>
  <dataValidations count="1">
    <dataValidation type="list" allowBlank="1" showInputMessage="1" showErrorMessage="1" sqref="D11:D47" xr:uid="{6E1A42F3-E8E9-4575-B3B9-8EC489CCE575}">
      <formula1>"HOLERITE,CNPJ,FREELANCE "</formula1>
    </dataValidation>
  </dataValidations>
  <hyperlinks>
    <hyperlink ref="C7" location="'INFORMES'!A1" display="⬅ANTERIOR " xr:uid="{4CA03EE1-2369-469B-8226-715832B5E736}"/>
    <hyperlink ref="A10" location="'TITULAR'!A1" display="TITULAR" xr:uid="{E1A71FD3-3EA2-4FD7-BC09-FBA7DF4A6F83}"/>
    <hyperlink ref="A12" location="'INFORMES'!A1" display="INFORMES" xr:uid="{5FD580C7-0D3A-41DC-900F-7DC47230735D}"/>
    <hyperlink ref="A14" location="'NOTAS'!A1" display="NOTAS" xr:uid="{C7FCB846-477C-422F-8454-B7CC84B22800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150B-4487-4EE2-9685-2FB6AD830792}">
  <dimension ref="A1:A51"/>
  <sheetViews>
    <sheetView topLeftCell="A44" workbookViewId="0">
      <selection activeCell="B5" sqref="B5"/>
    </sheetView>
  </sheetViews>
  <sheetFormatPr defaultRowHeight="15"/>
  <cols>
    <col min="1" max="1" width="36.5703125" bestFit="1" customWidth="1"/>
  </cols>
  <sheetData>
    <row r="1" spans="1:1">
      <c r="A1" s="34" t="s">
        <v>55</v>
      </c>
    </row>
    <row r="2" spans="1:1">
      <c r="A2" s="34" t="s">
        <v>56</v>
      </c>
    </row>
    <row r="3" spans="1:1">
      <c r="A3" s="34" t="s">
        <v>57</v>
      </c>
    </row>
    <row r="4" spans="1:1">
      <c r="A4" s="34" t="s">
        <v>58</v>
      </c>
    </row>
    <row r="5" spans="1:1">
      <c r="A5" s="34" t="s">
        <v>59</v>
      </c>
    </row>
    <row r="6" spans="1:1">
      <c r="A6" s="34" t="s">
        <v>60</v>
      </c>
    </row>
    <row r="7" spans="1:1">
      <c r="A7" s="34" t="s">
        <v>61</v>
      </c>
    </row>
    <row r="8" spans="1:1">
      <c r="A8" s="34" t="s">
        <v>62</v>
      </c>
    </row>
    <row r="9" spans="1:1">
      <c r="A9" s="34" t="s">
        <v>63</v>
      </c>
    </row>
    <row r="10" spans="1:1">
      <c r="A10" s="34" t="s">
        <v>64</v>
      </c>
    </row>
    <row r="11" spans="1:1">
      <c r="A11" s="34" t="s">
        <v>65</v>
      </c>
    </row>
    <row r="12" spans="1:1">
      <c r="A12" s="34" t="s">
        <v>42</v>
      </c>
    </row>
    <row r="13" spans="1:1">
      <c r="A13" s="34" t="s">
        <v>66</v>
      </c>
    </row>
    <row r="14" spans="1:1">
      <c r="A14" s="34" t="s">
        <v>67</v>
      </c>
    </row>
    <row r="15" spans="1:1">
      <c r="A15" s="34" t="s">
        <v>68</v>
      </c>
    </row>
    <row r="16" spans="1:1">
      <c r="A16" s="34" t="s">
        <v>37</v>
      </c>
    </row>
    <row r="17" spans="1:1">
      <c r="A17" s="34" t="s">
        <v>69</v>
      </c>
    </row>
    <row r="18" spans="1:1">
      <c r="A18" s="34" t="s">
        <v>70</v>
      </c>
    </row>
    <row r="19" spans="1:1">
      <c r="A19" s="34" t="s">
        <v>71</v>
      </c>
    </row>
    <row r="20" spans="1:1">
      <c r="A20" s="34" t="s">
        <v>72</v>
      </c>
    </row>
    <row r="21" spans="1:1">
      <c r="A21" s="34" t="s">
        <v>73</v>
      </c>
    </row>
    <row r="22" spans="1:1">
      <c r="A22" s="34" t="s">
        <v>74</v>
      </c>
    </row>
    <row r="23" spans="1:1">
      <c r="A23" s="34" t="s">
        <v>75</v>
      </c>
    </row>
    <row r="24" spans="1:1">
      <c r="A24" s="34" t="s">
        <v>76</v>
      </c>
    </row>
    <row r="25" spans="1:1">
      <c r="A25" s="34" t="s">
        <v>77</v>
      </c>
    </row>
    <row r="26" spans="1:1">
      <c r="A26" s="34" t="s">
        <v>78</v>
      </c>
    </row>
    <row r="27" spans="1:1" ht="29.25">
      <c r="A27" s="34" t="s">
        <v>79</v>
      </c>
    </row>
    <row r="28" spans="1:1">
      <c r="A28" s="34" t="s">
        <v>80</v>
      </c>
    </row>
    <row r="29" spans="1:1">
      <c r="A29" s="34" t="s">
        <v>81</v>
      </c>
    </row>
    <row r="30" spans="1:1">
      <c r="A30" s="34" t="s">
        <v>82</v>
      </c>
    </row>
    <row r="31" spans="1:1">
      <c r="A31" s="34" t="s">
        <v>83</v>
      </c>
    </row>
    <row r="32" spans="1:1">
      <c r="A32" s="34" t="s">
        <v>84</v>
      </c>
    </row>
    <row r="33" spans="1:1">
      <c r="A33" s="34" t="s">
        <v>85</v>
      </c>
    </row>
    <row r="34" spans="1:1">
      <c r="A34" s="34" t="s">
        <v>86</v>
      </c>
    </row>
    <row r="35" spans="1:1">
      <c r="A35" s="34" t="s">
        <v>87</v>
      </c>
    </row>
    <row r="36" spans="1:1">
      <c r="A36" s="34" t="s">
        <v>88</v>
      </c>
    </row>
    <row r="37" spans="1:1">
      <c r="A37" s="34" t="s">
        <v>89</v>
      </c>
    </row>
    <row r="38" spans="1:1">
      <c r="A38" s="34" t="s">
        <v>90</v>
      </c>
    </row>
    <row r="39" spans="1:1">
      <c r="A39" s="34" t="s">
        <v>91</v>
      </c>
    </row>
    <row r="40" spans="1:1">
      <c r="A40" s="34" t="s">
        <v>92</v>
      </c>
    </row>
    <row r="41" spans="1:1">
      <c r="A41" s="34" t="s">
        <v>93</v>
      </c>
    </row>
    <row r="42" spans="1:1">
      <c r="A42" s="34" t="s">
        <v>94</v>
      </c>
    </row>
    <row r="43" spans="1:1">
      <c r="A43" s="34" t="s">
        <v>95</v>
      </c>
    </row>
    <row r="44" spans="1:1">
      <c r="A44" s="34" t="s">
        <v>44</v>
      </c>
    </row>
    <row r="45" spans="1:1">
      <c r="A45" s="34" t="s">
        <v>96</v>
      </c>
    </row>
    <row r="46" spans="1:1">
      <c r="A46" s="34" t="s">
        <v>97</v>
      </c>
    </row>
    <row r="47" spans="1:1">
      <c r="A47" s="34" t="s">
        <v>98</v>
      </c>
    </row>
    <row r="48" spans="1:1">
      <c r="A48" s="34" t="s">
        <v>99</v>
      </c>
    </row>
    <row r="49" spans="1:1">
      <c r="A49" s="34" t="s">
        <v>100</v>
      </c>
    </row>
    <row r="50" spans="1:1">
      <c r="A50" s="34" t="s">
        <v>101</v>
      </c>
    </row>
    <row r="51" spans="1:1">
      <c r="A51" s="3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2026-01-21T22:50:41Z</dcterms:created>
  <dcterms:modified xsi:type="dcterms:W3CDTF">2026-01-22T16:52:55Z</dcterms:modified>
  <cp:category/>
  <cp:contentStatus/>
</cp:coreProperties>
</file>